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5eb2d4fa317df9/Documents/Microsoft EXcel/"/>
    </mc:Choice>
  </mc:AlternateContent>
  <xr:revisionPtr revIDLastSave="0" documentId="8_{E63C98BA-5BFE-4320-A30D-F6C17DA4FDD6}" xr6:coauthVersionLast="47" xr6:coauthVersionMax="47" xr10:uidLastSave="{00000000-0000-0000-0000-000000000000}"/>
  <bookViews>
    <workbookView xWindow="-110" yWindow="-110" windowWidth="19420" windowHeight="10300" xr2:uid="{DA1EBF68-6562-49BD-A737-0A3225319A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1" l="1"/>
  <c r="J24" i="1"/>
  <c r="I24" i="1"/>
  <c r="H24" i="1"/>
  <c r="K23" i="1"/>
  <c r="J23" i="1"/>
  <c r="I23" i="1"/>
  <c r="H23" i="1"/>
  <c r="K22" i="1"/>
  <c r="J22" i="1"/>
  <c r="I22" i="1"/>
  <c r="H22" i="1"/>
  <c r="C22" i="1"/>
  <c r="D24" i="1"/>
  <c r="E24" i="1"/>
  <c r="F24" i="1"/>
  <c r="D23" i="1"/>
  <c r="E23" i="1"/>
  <c r="F23" i="1"/>
  <c r="D22" i="1"/>
  <c r="E22" i="1"/>
  <c r="F22" i="1"/>
  <c r="C23" i="1"/>
  <c r="C2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I4" i="1"/>
  <c r="J4" i="1"/>
  <c r="K4" i="1"/>
  <c r="H4" i="1"/>
</calcChain>
</file>

<file path=xl/sharedStrings.xml><?xml version="1.0" encoding="utf-8"?>
<sst xmlns="http://schemas.openxmlformats.org/spreadsheetml/2006/main" count="50" uniqueCount="42">
  <si>
    <t>Gradebook</t>
  </si>
  <si>
    <t>First Name</t>
  </si>
  <si>
    <t>Last Name</t>
  </si>
  <si>
    <t xml:space="preserve">Ambothu </t>
  </si>
  <si>
    <t>Shilpa</t>
  </si>
  <si>
    <t>Pamda</t>
  </si>
  <si>
    <t>Pushpa</t>
  </si>
  <si>
    <t>Ashok</t>
  </si>
  <si>
    <t>Ajay</t>
  </si>
  <si>
    <t>Kumar</t>
  </si>
  <si>
    <t>Pavan</t>
  </si>
  <si>
    <t>Pavani</t>
  </si>
  <si>
    <t>Sumathi</t>
  </si>
  <si>
    <t>Allu</t>
  </si>
  <si>
    <t>Siri</t>
  </si>
  <si>
    <t>Varsha</t>
  </si>
  <si>
    <t>Kumari</t>
  </si>
  <si>
    <t>Parchi</t>
  </si>
  <si>
    <t>Yojitha</t>
  </si>
  <si>
    <t>Ramu</t>
  </si>
  <si>
    <t>Kethavan</t>
  </si>
  <si>
    <t>Ramavath</t>
  </si>
  <si>
    <t>Makesh</t>
  </si>
  <si>
    <t>Safety Test</t>
  </si>
  <si>
    <t>Company Philosophy Test</t>
  </si>
  <si>
    <t>Financial Skills Test</t>
  </si>
  <si>
    <t>Drug Test</t>
  </si>
  <si>
    <t>Points Possible</t>
  </si>
  <si>
    <t>Fire Employee</t>
  </si>
  <si>
    <t>Max</t>
  </si>
  <si>
    <t>Min</t>
  </si>
  <si>
    <t>Avarage</t>
  </si>
  <si>
    <t>Ambothu</t>
  </si>
  <si>
    <t>Mudavath</t>
  </si>
  <si>
    <t>Amgoth</t>
  </si>
  <si>
    <t>Banoth</t>
  </si>
  <si>
    <t>Daravath</t>
  </si>
  <si>
    <t>Eslavath</t>
  </si>
  <si>
    <t>Guguloth</t>
  </si>
  <si>
    <t>Lambada</t>
  </si>
  <si>
    <t>Nenavath</t>
  </si>
  <si>
    <t>Sabavath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</si>
</sst>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textRotation="90"/>
    </xf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Safety</a:t>
            </a:r>
            <a:r>
              <a:rPr lang="en-IN" baseline="0"/>
              <a:t> Test</a:t>
            </a:r>
          </a:p>
          <a:p>
            <a:pPr>
              <a:defRPr/>
            </a:pP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Ambothu </c:v>
                </c:pt>
                <c:pt idx="1">
                  <c:v>Shilpa</c:v>
                </c:pt>
                <c:pt idx="2">
                  <c:v>Pamda</c:v>
                </c:pt>
                <c:pt idx="3">
                  <c:v>Pushpa</c:v>
                </c:pt>
                <c:pt idx="4">
                  <c:v>Ashok</c:v>
                </c:pt>
                <c:pt idx="5">
                  <c:v>Ajay</c:v>
                </c:pt>
                <c:pt idx="6">
                  <c:v>Kumar</c:v>
                </c:pt>
                <c:pt idx="7">
                  <c:v>Pavan</c:v>
                </c:pt>
                <c:pt idx="8">
                  <c:v>Pavani</c:v>
                </c:pt>
                <c:pt idx="9">
                  <c:v>Sumathi</c:v>
                </c:pt>
                <c:pt idx="10">
                  <c:v>Allu</c:v>
                </c:pt>
                <c:pt idx="11">
                  <c:v>Siri</c:v>
                </c:pt>
                <c:pt idx="12">
                  <c:v>Varsha</c:v>
                </c:pt>
                <c:pt idx="13">
                  <c:v>Kumari</c:v>
                </c:pt>
                <c:pt idx="14">
                  <c:v>Parchi</c:v>
                </c:pt>
                <c:pt idx="15">
                  <c:v>Yojitha</c:v>
                </c:pt>
                <c:pt idx="16">
                  <c:v>Makesh</c:v>
                </c:pt>
              </c:strCache>
            </c:strRef>
          </c:cat>
          <c:val>
            <c:numRef>
              <c:f>Sheet1!$C$4:$C$20</c:f>
              <c:numCache>
                <c:formatCode>General</c:formatCode>
                <c:ptCount val="17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10</c:v>
                </c:pt>
                <c:pt idx="4">
                  <c:v>9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10</c:v>
                </c:pt>
                <c:pt idx="10">
                  <c:v>8</c:v>
                </c:pt>
                <c:pt idx="11">
                  <c:v>7</c:v>
                </c:pt>
                <c:pt idx="12">
                  <c:v>9</c:v>
                </c:pt>
                <c:pt idx="13">
                  <c:v>9</c:v>
                </c:pt>
                <c:pt idx="14">
                  <c:v>9</c:v>
                </c:pt>
                <c:pt idx="15">
                  <c:v>8</c:v>
                </c:pt>
                <c:pt idx="16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2D-436D-A470-D40E6F426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718735"/>
        <c:axId val="856715375"/>
      </c:barChart>
      <c:catAx>
        <c:axId val="85671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15375"/>
        <c:crosses val="autoZero"/>
        <c:auto val="1"/>
        <c:lblAlgn val="ctr"/>
        <c:lblOffset val="100"/>
        <c:noMultiLvlLbl val="0"/>
      </c:catAx>
      <c:valAx>
        <c:axId val="85671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1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Company</a:t>
            </a:r>
            <a:r>
              <a:rPr lang="en-IN" baseline="0"/>
              <a:t> Philosophy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Ambothu </c:v>
                </c:pt>
                <c:pt idx="1">
                  <c:v>Shilpa</c:v>
                </c:pt>
                <c:pt idx="2">
                  <c:v>Pamda</c:v>
                </c:pt>
                <c:pt idx="3">
                  <c:v>Pushpa</c:v>
                </c:pt>
                <c:pt idx="4">
                  <c:v>Ashok</c:v>
                </c:pt>
                <c:pt idx="5">
                  <c:v>Ajay</c:v>
                </c:pt>
                <c:pt idx="6">
                  <c:v>Kumar</c:v>
                </c:pt>
                <c:pt idx="7">
                  <c:v>Pavan</c:v>
                </c:pt>
                <c:pt idx="8">
                  <c:v>Pavani</c:v>
                </c:pt>
                <c:pt idx="9">
                  <c:v>Sumathi</c:v>
                </c:pt>
                <c:pt idx="10">
                  <c:v>Allu</c:v>
                </c:pt>
                <c:pt idx="11">
                  <c:v>Siri</c:v>
                </c:pt>
                <c:pt idx="12">
                  <c:v>Varsha</c:v>
                </c:pt>
                <c:pt idx="13">
                  <c:v>Kumari</c:v>
                </c:pt>
                <c:pt idx="14">
                  <c:v>Parchi</c:v>
                </c:pt>
                <c:pt idx="15">
                  <c:v>Yojitha</c:v>
                </c:pt>
                <c:pt idx="16">
                  <c:v>Makesh</c:v>
                </c:pt>
              </c:strCache>
            </c:strRef>
          </c:cat>
          <c:val>
            <c:numRef>
              <c:f>Sheet1!$D$4:$D$20</c:f>
              <c:numCache>
                <c:formatCode>General</c:formatCode>
                <c:ptCount val="17"/>
                <c:pt idx="0">
                  <c:v>19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19</c:v>
                </c:pt>
                <c:pt idx="6">
                  <c:v>19</c:v>
                </c:pt>
                <c:pt idx="7">
                  <c:v>10</c:v>
                </c:pt>
                <c:pt idx="8">
                  <c:v>20</c:v>
                </c:pt>
                <c:pt idx="9">
                  <c:v>19</c:v>
                </c:pt>
                <c:pt idx="10">
                  <c:v>19</c:v>
                </c:pt>
                <c:pt idx="11">
                  <c:v>19</c:v>
                </c:pt>
                <c:pt idx="12">
                  <c:v>20</c:v>
                </c:pt>
                <c:pt idx="13">
                  <c:v>20</c:v>
                </c:pt>
                <c:pt idx="14">
                  <c:v>18</c:v>
                </c:pt>
                <c:pt idx="15">
                  <c:v>17</c:v>
                </c:pt>
                <c:pt idx="16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7B-4F96-BDCB-DE47D8CA2E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0488431"/>
        <c:axId val="365487423"/>
      </c:barChart>
      <c:catAx>
        <c:axId val="950488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487423"/>
        <c:crosses val="autoZero"/>
        <c:auto val="1"/>
        <c:lblAlgn val="ctr"/>
        <c:lblOffset val="100"/>
        <c:noMultiLvlLbl val="0"/>
      </c:catAx>
      <c:valAx>
        <c:axId val="36548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488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</a:t>
            </a:r>
            <a:r>
              <a:rPr lang="en-IN" baseline="0"/>
              <a:t> Skills Test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Sheet1!$A$4:$A$20</c:f>
              <c:strCache>
                <c:ptCount val="17"/>
                <c:pt idx="0">
                  <c:v>Ambothu </c:v>
                </c:pt>
                <c:pt idx="1">
                  <c:v>Shilpa</c:v>
                </c:pt>
                <c:pt idx="2">
                  <c:v>Pamda</c:v>
                </c:pt>
                <c:pt idx="3">
                  <c:v>Pushpa</c:v>
                </c:pt>
                <c:pt idx="4">
                  <c:v>Ashok</c:v>
                </c:pt>
                <c:pt idx="5">
                  <c:v>Ajay</c:v>
                </c:pt>
                <c:pt idx="6">
                  <c:v>Kumar</c:v>
                </c:pt>
                <c:pt idx="7">
                  <c:v>Pavan</c:v>
                </c:pt>
                <c:pt idx="8">
                  <c:v>Pavani</c:v>
                </c:pt>
                <c:pt idx="9">
                  <c:v>Sumathi</c:v>
                </c:pt>
                <c:pt idx="10">
                  <c:v>Allu</c:v>
                </c:pt>
                <c:pt idx="11">
                  <c:v>Siri</c:v>
                </c:pt>
                <c:pt idx="12">
                  <c:v>Varsha</c:v>
                </c:pt>
                <c:pt idx="13">
                  <c:v>Kumari</c:v>
                </c:pt>
                <c:pt idx="14">
                  <c:v>Parchi</c:v>
                </c:pt>
                <c:pt idx="15">
                  <c:v>Yojitha</c:v>
                </c:pt>
                <c:pt idx="16">
                  <c:v>Makesh</c:v>
                </c:pt>
              </c:strCache>
            </c:strRef>
          </c:cat>
          <c:val>
            <c:numRef>
              <c:f>Sheet1!$E$4:$E$20</c:f>
              <c:numCache>
                <c:formatCode>General</c:formatCode>
                <c:ptCount val="17"/>
                <c:pt idx="0">
                  <c:v>99</c:v>
                </c:pt>
                <c:pt idx="1">
                  <c:v>100</c:v>
                </c:pt>
                <c:pt idx="2">
                  <c:v>98</c:v>
                </c:pt>
                <c:pt idx="3">
                  <c:v>89</c:v>
                </c:pt>
                <c:pt idx="4">
                  <c:v>78</c:v>
                </c:pt>
                <c:pt idx="5">
                  <c:v>87</c:v>
                </c:pt>
                <c:pt idx="6">
                  <c:v>88</c:v>
                </c:pt>
                <c:pt idx="7">
                  <c:v>76</c:v>
                </c:pt>
                <c:pt idx="8">
                  <c:v>67</c:v>
                </c:pt>
                <c:pt idx="9">
                  <c:v>66</c:v>
                </c:pt>
                <c:pt idx="10">
                  <c:v>65</c:v>
                </c:pt>
                <c:pt idx="11">
                  <c:v>55</c:v>
                </c:pt>
                <c:pt idx="12">
                  <c:v>56</c:v>
                </c:pt>
                <c:pt idx="13">
                  <c:v>90</c:v>
                </c:pt>
                <c:pt idx="14">
                  <c:v>90</c:v>
                </c:pt>
                <c:pt idx="15">
                  <c:v>100</c:v>
                </c:pt>
                <c:pt idx="1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8-4C80-99DE-9CE658A9B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56717295"/>
        <c:axId val="856720655"/>
      </c:barChart>
      <c:catAx>
        <c:axId val="85671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20655"/>
        <c:crosses val="autoZero"/>
        <c:auto val="1"/>
        <c:lblAlgn val="ctr"/>
        <c:lblOffset val="100"/>
        <c:noMultiLvlLbl val="0"/>
      </c:catAx>
      <c:valAx>
        <c:axId val="85672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67172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66675</xdr:colOff>
      <xdr:row>1</xdr:row>
      <xdr:rowOff>95250</xdr:rowOff>
    </xdr:from>
    <xdr:to>
      <xdr:col>20</xdr:col>
      <xdr:colOff>371475</xdr:colOff>
      <xdr:row>16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9AF61E9-F56B-09BD-9DF5-1ACFE1DC7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123825</xdr:colOff>
      <xdr:row>17</xdr:row>
      <xdr:rowOff>6350</xdr:rowOff>
    </xdr:from>
    <xdr:to>
      <xdr:col>20</xdr:col>
      <xdr:colOff>428625</xdr:colOff>
      <xdr:row>31</xdr:row>
      <xdr:rowOff>171450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D2C009C-DF8E-9CE6-6F1A-5E2C13DEF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155575</xdr:colOff>
      <xdr:row>32</xdr:row>
      <xdr:rowOff>177800</xdr:rowOff>
    </xdr:from>
    <xdr:to>
      <xdr:col>20</xdr:col>
      <xdr:colOff>460375</xdr:colOff>
      <xdr:row>47</xdr:row>
      <xdr:rowOff>158750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4579A9C-CE41-12C6-2A5D-385C966F6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50B95-E59B-4C26-8BD4-16E79CE27428}">
  <dimension ref="A1:M24"/>
  <sheetViews>
    <sheetView tabSelected="1" topLeftCell="A20" workbookViewId="0">
      <selection activeCell="E20" sqref="E4:E20"/>
    </sheetView>
  </sheetViews>
  <sheetFormatPr defaultRowHeight="14.5" x14ac:dyDescent="0.35"/>
  <cols>
    <col min="3" max="3" width="4.90625" bestFit="1" customWidth="1"/>
    <col min="4" max="4" width="6.81640625" customWidth="1"/>
    <col min="5" max="5" width="5.90625" bestFit="1" customWidth="1"/>
    <col min="6" max="6" width="6" customWidth="1"/>
    <col min="8" max="8" width="5.1796875" customWidth="1"/>
    <col min="9" max="9" width="6.453125" customWidth="1"/>
    <col min="10" max="10" width="5.90625" customWidth="1"/>
    <col min="11" max="11" width="6" customWidth="1"/>
  </cols>
  <sheetData>
    <row r="1" spans="1:13" ht="123.5" x14ac:dyDescent="0.35">
      <c r="A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H1" s="1" t="s">
        <v>23</v>
      </c>
      <c r="I1" s="1" t="s">
        <v>24</v>
      </c>
      <c r="J1" s="1" t="s">
        <v>25</v>
      </c>
      <c r="K1" s="1" t="s">
        <v>26</v>
      </c>
      <c r="M1" s="1" t="s">
        <v>28</v>
      </c>
    </row>
    <row r="2" spans="1:13" x14ac:dyDescent="0.35">
      <c r="B2" t="s">
        <v>27</v>
      </c>
      <c r="C2">
        <v>10</v>
      </c>
      <c r="D2">
        <v>20</v>
      </c>
      <c r="E2">
        <v>100</v>
      </c>
      <c r="F2">
        <v>1</v>
      </c>
    </row>
    <row r="3" spans="1:13" x14ac:dyDescent="0.35">
      <c r="A3" t="s">
        <v>1</v>
      </c>
      <c r="B3" t="s">
        <v>2</v>
      </c>
    </row>
    <row r="4" spans="1:13" x14ac:dyDescent="0.35">
      <c r="A4" t="s">
        <v>3</v>
      </c>
      <c r="B4" t="s">
        <v>19</v>
      </c>
      <c r="C4">
        <v>10</v>
      </c>
      <c r="D4">
        <v>19</v>
      </c>
      <c r="E4">
        <v>99</v>
      </c>
      <c r="F4">
        <v>1</v>
      </c>
      <c r="H4" s="2">
        <f>C4/C$2</f>
        <v>1</v>
      </c>
      <c r="I4" s="2">
        <f t="shared" ref="I4:K4" si="0">D4/D$2</f>
        <v>0.95</v>
      </c>
      <c r="J4" s="2">
        <f t="shared" si="0"/>
        <v>0.99</v>
      </c>
      <c r="K4" s="2">
        <f t="shared" si="0"/>
        <v>1</v>
      </c>
      <c r="M4" s="2" t="b">
        <f>OR(H4&lt;0.5,I4&lt;0.5,J4&lt;0.5,K4&lt;0.5)</f>
        <v>0</v>
      </c>
    </row>
    <row r="5" spans="1:13" x14ac:dyDescent="0.35">
      <c r="A5" t="s">
        <v>4</v>
      </c>
      <c r="B5" t="s">
        <v>20</v>
      </c>
      <c r="C5">
        <v>9</v>
      </c>
      <c r="D5">
        <v>16</v>
      </c>
      <c r="E5">
        <v>100</v>
      </c>
      <c r="F5">
        <v>1</v>
      </c>
      <c r="H5" s="2">
        <f t="shared" ref="H5:H20" si="1">C5/C$2</f>
        <v>0.9</v>
      </c>
      <c r="I5" s="2">
        <f t="shared" ref="I5:I20" si="2">D5/D$2</f>
        <v>0.8</v>
      </c>
      <c r="J5" s="2">
        <f t="shared" ref="J5:J20" si="3">E5/E$2</f>
        <v>1</v>
      </c>
      <c r="K5" s="2">
        <f t="shared" ref="K5:K20" si="4">F5/F$2</f>
        <v>1</v>
      </c>
      <c r="M5" s="2" t="b">
        <f t="shared" ref="M5:M20" si="5">OR(H5&lt;0.5,I5&lt;0.5,J5&lt;0.5,K5&lt;0.5)</f>
        <v>0</v>
      </c>
    </row>
    <row r="6" spans="1:13" x14ac:dyDescent="0.35">
      <c r="A6" t="s">
        <v>5</v>
      </c>
      <c r="B6" t="s">
        <v>21</v>
      </c>
      <c r="C6">
        <v>8</v>
      </c>
      <c r="D6">
        <v>17</v>
      </c>
      <c r="E6">
        <v>98</v>
      </c>
      <c r="F6">
        <v>1</v>
      </c>
      <c r="H6" s="2">
        <f t="shared" si="1"/>
        <v>0.8</v>
      </c>
      <c r="I6" s="2">
        <f t="shared" si="2"/>
        <v>0.85</v>
      </c>
      <c r="J6" s="2">
        <f t="shared" si="3"/>
        <v>0.98</v>
      </c>
      <c r="K6" s="2">
        <f t="shared" si="4"/>
        <v>1</v>
      </c>
      <c r="M6" s="2" t="b">
        <f t="shared" si="5"/>
        <v>0</v>
      </c>
    </row>
    <row r="7" spans="1:13" x14ac:dyDescent="0.35">
      <c r="A7" t="s">
        <v>6</v>
      </c>
      <c r="B7" t="s">
        <v>32</v>
      </c>
      <c r="C7">
        <v>10</v>
      </c>
      <c r="D7">
        <v>19</v>
      </c>
      <c r="E7">
        <v>89</v>
      </c>
      <c r="F7">
        <v>1</v>
      </c>
      <c r="H7" s="2">
        <f t="shared" si="1"/>
        <v>1</v>
      </c>
      <c r="I7" s="2">
        <f t="shared" si="2"/>
        <v>0.95</v>
      </c>
      <c r="J7" s="2">
        <f t="shared" si="3"/>
        <v>0.89</v>
      </c>
      <c r="K7" s="2">
        <f t="shared" si="4"/>
        <v>1</v>
      </c>
      <c r="M7" s="2" t="b">
        <f t="shared" si="5"/>
        <v>0</v>
      </c>
    </row>
    <row r="8" spans="1:13" x14ac:dyDescent="0.35">
      <c r="A8" t="s">
        <v>7</v>
      </c>
      <c r="B8" t="s">
        <v>33</v>
      </c>
      <c r="C8">
        <v>9</v>
      </c>
      <c r="D8">
        <v>20</v>
      </c>
      <c r="E8">
        <v>78</v>
      </c>
      <c r="F8">
        <v>1</v>
      </c>
      <c r="H8" s="2">
        <f t="shared" si="1"/>
        <v>0.9</v>
      </c>
      <c r="I8" s="2">
        <f t="shared" si="2"/>
        <v>1</v>
      </c>
      <c r="J8" s="2">
        <f t="shared" si="3"/>
        <v>0.78</v>
      </c>
      <c r="K8" s="2">
        <f t="shared" si="4"/>
        <v>1</v>
      </c>
      <c r="M8" s="2" t="b">
        <f t="shared" si="5"/>
        <v>0</v>
      </c>
    </row>
    <row r="9" spans="1:13" x14ac:dyDescent="0.35">
      <c r="A9" t="s">
        <v>8</v>
      </c>
      <c r="B9" t="s">
        <v>34</v>
      </c>
      <c r="C9">
        <v>7</v>
      </c>
      <c r="D9">
        <v>19</v>
      </c>
      <c r="E9">
        <v>87</v>
      </c>
      <c r="F9">
        <v>1</v>
      </c>
      <c r="H9" s="2">
        <f t="shared" si="1"/>
        <v>0.7</v>
      </c>
      <c r="I9" s="2">
        <f t="shared" si="2"/>
        <v>0.95</v>
      </c>
      <c r="J9" s="2">
        <f t="shared" si="3"/>
        <v>0.87</v>
      </c>
      <c r="K9" s="2">
        <f t="shared" si="4"/>
        <v>1</v>
      </c>
      <c r="M9" s="2" t="b">
        <f t="shared" si="5"/>
        <v>0</v>
      </c>
    </row>
    <row r="10" spans="1:13" x14ac:dyDescent="0.35">
      <c r="A10" t="s">
        <v>9</v>
      </c>
      <c r="B10" t="s">
        <v>21</v>
      </c>
      <c r="C10">
        <v>8</v>
      </c>
      <c r="D10">
        <v>19</v>
      </c>
      <c r="E10">
        <v>88</v>
      </c>
      <c r="F10">
        <v>1</v>
      </c>
      <c r="H10" s="2">
        <f t="shared" si="1"/>
        <v>0.8</v>
      </c>
      <c r="I10" s="2">
        <f t="shared" si="2"/>
        <v>0.95</v>
      </c>
      <c r="J10" s="2">
        <f t="shared" si="3"/>
        <v>0.88</v>
      </c>
      <c r="K10" s="2">
        <f t="shared" si="4"/>
        <v>1</v>
      </c>
      <c r="M10" s="2" t="b">
        <f t="shared" si="5"/>
        <v>0</v>
      </c>
    </row>
    <row r="11" spans="1:13" x14ac:dyDescent="0.35">
      <c r="A11" t="s">
        <v>10</v>
      </c>
      <c r="B11" t="s">
        <v>35</v>
      </c>
      <c r="C11">
        <v>9</v>
      </c>
      <c r="D11">
        <v>10</v>
      </c>
      <c r="E11">
        <v>76</v>
      </c>
      <c r="F11">
        <v>1</v>
      </c>
      <c r="H11" s="2">
        <f t="shared" si="1"/>
        <v>0.9</v>
      </c>
      <c r="I11" s="2">
        <f t="shared" si="2"/>
        <v>0.5</v>
      </c>
      <c r="J11" s="2">
        <f t="shared" si="3"/>
        <v>0.76</v>
      </c>
      <c r="K11" s="2">
        <f t="shared" si="4"/>
        <v>1</v>
      </c>
      <c r="M11" s="2" t="b">
        <f t="shared" si="5"/>
        <v>0</v>
      </c>
    </row>
    <row r="12" spans="1:13" x14ac:dyDescent="0.35">
      <c r="A12" t="s">
        <v>11</v>
      </c>
      <c r="B12" t="s">
        <v>20</v>
      </c>
      <c r="C12">
        <v>10</v>
      </c>
      <c r="D12">
        <v>20</v>
      </c>
      <c r="E12">
        <v>67</v>
      </c>
      <c r="F12">
        <v>1</v>
      </c>
      <c r="H12" s="2">
        <f t="shared" si="1"/>
        <v>1</v>
      </c>
      <c r="I12" s="2">
        <f t="shared" si="2"/>
        <v>1</v>
      </c>
      <c r="J12" s="2">
        <f t="shared" si="3"/>
        <v>0.67</v>
      </c>
      <c r="K12" s="2">
        <f t="shared" si="4"/>
        <v>1</v>
      </c>
      <c r="M12" s="2" t="b">
        <f t="shared" si="5"/>
        <v>0</v>
      </c>
    </row>
    <row r="13" spans="1:13" x14ac:dyDescent="0.35">
      <c r="A13" t="s">
        <v>12</v>
      </c>
      <c r="B13" t="s">
        <v>32</v>
      </c>
      <c r="C13">
        <v>10</v>
      </c>
      <c r="D13">
        <v>19</v>
      </c>
      <c r="E13">
        <v>66</v>
      </c>
      <c r="F13">
        <v>0</v>
      </c>
      <c r="H13" s="2">
        <f t="shared" si="1"/>
        <v>1</v>
      </c>
      <c r="I13" s="2">
        <f t="shared" si="2"/>
        <v>0.95</v>
      </c>
      <c r="J13" s="2">
        <f t="shared" si="3"/>
        <v>0.66</v>
      </c>
      <c r="K13" s="2">
        <f t="shared" si="4"/>
        <v>0</v>
      </c>
      <c r="M13" s="2" t="b">
        <f t="shared" si="5"/>
        <v>1</v>
      </c>
    </row>
    <row r="14" spans="1:13" x14ac:dyDescent="0.35">
      <c r="A14" t="s">
        <v>13</v>
      </c>
      <c r="B14" t="s">
        <v>36</v>
      </c>
      <c r="C14">
        <v>8</v>
      </c>
      <c r="D14">
        <v>19</v>
      </c>
      <c r="E14">
        <v>65</v>
      </c>
      <c r="F14">
        <v>1</v>
      </c>
      <c r="H14" s="2">
        <f t="shared" si="1"/>
        <v>0.8</v>
      </c>
      <c r="I14" s="2">
        <f t="shared" si="2"/>
        <v>0.95</v>
      </c>
      <c r="J14" s="2">
        <f t="shared" si="3"/>
        <v>0.65</v>
      </c>
      <c r="K14" s="2">
        <f t="shared" si="4"/>
        <v>1</v>
      </c>
      <c r="M14" s="2" t="b">
        <f t="shared" si="5"/>
        <v>0</v>
      </c>
    </row>
    <row r="15" spans="1:13" x14ac:dyDescent="0.35">
      <c r="A15" t="s">
        <v>14</v>
      </c>
      <c r="B15" t="s">
        <v>37</v>
      </c>
      <c r="C15">
        <v>7</v>
      </c>
      <c r="D15">
        <v>19</v>
      </c>
      <c r="E15">
        <v>55</v>
      </c>
      <c r="F15">
        <v>1</v>
      </c>
      <c r="H15" s="2">
        <f t="shared" si="1"/>
        <v>0.7</v>
      </c>
      <c r="I15" s="2">
        <f t="shared" si="2"/>
        <v>0.95</v>
      </c>
      <c r="J15" s="2">
        <f t="shared" si="3"/>
        <v>0.55000000000000004</v>
      </c>
      <c r="K15" s="2">
        <f t="shared" si="4"/>
        <v>1</v>
      </c>
      <c r="M15" s="2" t="b">
        <f t="shared" si="5"/>
        <v>0</v>
      </c>
    </row>
    <row r="16" spans="1:13" x14ac:dyDescent="0.35">
      <c r="A16" t="s">
        <v>15</v>
      </c>
      <c r="B16" t="s">
        <v>38</v>
      </c>
      <c r="C16">
        <v>9</v>
      </c>
      <c r="D16">
        <v>20</v>
      </c>
      <c r="E16">
        <v>56</v>
      </c>
      <c r="F16">
        <v>1</v>
      </c>
      <c r="H16" s="2">
        <f t="shared" si="1"/>
        <v>0.9</v>
      </c>
      <c r="I16" s="2">
        <f t="shared" si="2"/>
        <v>1</v>
      </c>
      <c r="J16" s="2">
        <f t="shared" si="3"/>
        <v>0.56000000000000005</v>
      </c>
      <c r="K16" s="2">
        <f t="shared" si="4"/>
        <v>1</v>
      </c>
      <c r="M16" s="2" t="b">
        <f t="shared" si="5"/>
        <v>0</v>
      </c>
    </row>
    <row r="17" spans="1:13" x14ac:dyDescent="0.35">
      <c r="A17" t="s">
        <v>16</v>
      </c>
      <c r="B17" t="s">
        <v>39</v>
      </c>
      <c r="C17">
        <v>9</v>
      </c>
      <c r="D17">
        <v>20</v>
      </c>
      <c r="E17">
        <v>90</v>
      </c>
      <c r="F17">
        <v>0</v>
      </c>
      <c r="H17" s="2">
        <f t="shared" si="1"/>
        <v>0.9</v>
      </c>
      <c r="I17" s="2">
        <f t="shared" si="2"/>
        <v>1</v>
      </c>
      <c r="J17" s="2">
        <f t="shared" si="3"/>
        <v>0.9</v>
      </c>
      <c r="K17" s="2">
        <f t="shared" si="4"/>
        <v>0</v>
      </c>
      <c r="M17" s="2" t="b">
        <f t="shared" si="5"/>
        <v>1</v>
      </c>
    </row>
    <row r="18" spans="1:13" x14ac:dyDescent="0.35">
      <c r="A18" t="s">
        <v>17</v>
      </c>
      <c r="B18" t="s">
        <v>33</v>
      </c>
      <c r="C18">
        <v>9</v>
      </c>
      <c r="D18">
        <v>18</v>
      </c>
      <c r="E18">
        <v>90</v>
      </c>
      <c r="F18">
        <v>1</v>
      </c>
      <c r="H18" s="2">
        <f t="shared" si="1"/>
        <v>0.9</v>
      </c>
      <c r="I18" s="2">
        <f t="shared" si="2"/>
        <v>0.9</v>
      </c>
      <c r="J18" s="2">
        <f t="shared" si="3"/>
        <v>0.9</v>
      </c>
      <c r="K18" s="2">
        <f t="shared" si="4"/>
        <v>1</v>
      </c>
      <c r="M18" s="2" t="b">
        <f t="shared" si="5"/>
        <v>0</v>
      </c>
    </row>
    <row r="19" spans="1:13" x14ac:dyDescent="0.35">
      <c r="A19" t="s">
        <v>18</v>
      </c>
      <c r="B19" t="s">
        <v>40</v>
      </c>
      <c r="C19">
        <v>8</v>
      </c>
      <c r="D19">
        <v>17</v>
      </c>
      <c r="E19">
        <v>100</v>
      </c>
      <c r="F19">
        <v>1</v>
      </c>
      <c r="H19" s="2">
        <f t="shared" si="1"/>
        <v>0.8</v>
      </c>
      <c r="I19" s="2">
        <f t="shared" si="2"/>
        <v>0.85</v>
      </c>
      <c r="J19" s="2">
        <f t="shared" si="3"/>
        <v>1</v>
      </c>
      <c r="K19" s="2">
        <f t="shared" si="4"/>
        <v>1</v>
      </c>
      <c r="M19" s="2" t="b">
        <f t="shared" si="5"/>
        <v>0</v>
      </c>
    </row>
    <row r="20" spans="1:13" x14ac:dyDescent="0.35">
      <c r="A20" t="s">
        <v>22</v>
      </c>
      <c r="B20" t="s">
        <v>41</v>
      </c>
      <c r="C20">
        <v>10</v>
      </c>
      <c r="D20">
        <v>15</v>
      </c>
      <c r="E20">
        <v>100</v>
      </c>
      <c r="F20">
        <v>0</v>
      </c>
      <c r="H20" s="2">
        <f t="shared" si="1"/>
        <v>1</v>
      </c>
      <c r="I20" s="2">
        <f t="shared" si="2"/>
        <v>0.75</v>
      </c>
      <c r="J20" s="2">
        <f t="shared" si="3"/>
        <v>1</v>
      </c>
      <c r="K20" s="2">
        <f t="shared" si="4"/>
        <v>0</v>
      </c>
      <c r="M20" s="2" t="b">
        <f t="shared" si="5"/>
        <v>1</v>
      </c>
    </row>
    <row r="22" spans="1:13" x14ac:dyDescent="0.35">
      <c r="A22" t="s">
        <v>29</v>
      </c>
      <c r="C22">
        <f>MAX(C4:C20)</f>
        <v>10</v>
      </c>
      <c r="D22">
        <f t="shared" ref="D22:F22" si="6">MAX(D4:D20)</f>
        <v>20</v>
      </c>
      <c r="E22">
        <f t="shared" si="6"/>
        <v>100</v>
      </c>
      <c r="F22">
        <f t="shared" si="6"/>
        <v>1</v>
      </c>
      <c r="H22" s="2">
        <f>MAX(H4:H20)</f>
        <v>1</v>
      </c>
      <c r="I22" s="2">
        <f t="shared" ref="I22:K22" si="7">MAX(I4:I20)</f>
        <v>1</v>
      </c>
      <c r="J22" s="2">
        <f t="shared" si="7"/>
        <v>1</v>
      </c>
      <c r="K22" s="2">
        <f t="shared" si="7"/>
        <v>1</v>
      </c>
    </row>
    <row r="23" spans="1:13" x14ac:dyDescent="0.35">
      <c r="A23" t="s">
        <v>30</v>
      </c>
      <c r="C23">
        <f>MIN(C4:C20)</f>
        <v>7</v>
      </c>
      <c r="D23">
        <f t="shared" ref="D23:F23" si="8">MIN(D4:D20)</f>
        <v>10</v>
      </c>
      <c r="E23">
        <f t="shared" si="8"/>
        <v>55</v>
      </c>
      <c r="F23">
        <f t="shared" si="8"/>
        <v>0</v>
      </c>
      <c r="H23" s="2">
        <f>MIN(H4:H20)</f>
        <v>0.7</v>
      </c>
      <c r="I23" s="2">
        <f t="shared" ref="I23:K23" si="9">MIN(I4:I20)</f>
        <v>0.5</v>
      </c>
      <c r="J23" s="2">
        <f t="shared" si="9"/>
        <v>0.55000000000000004</v>
      </c>
      <c r="K23" s="2">
        <f t="shared" si="9"/>
        <v>0</v>
      </c>
    </row>
    <row r="24" spans="1:13" x14ac:dyDescent="0.35">
      <c r="A24" t="s">
        <v>31</v>
      </c>
      <c r="C24">
        <f>AVERAGE(C4:C20)</f>
        <v>8.8235294117647065</v>
      </c>
      <c r="D24">
        <f t="shared" ref="D24:F24" si="10">AVERAGE(D4:D20)</f>
        <v>18</v>
      </c>
      <c r="E24">
        <f t="shared" si="10"/>
        <v>82.588235294117652</v>
      </c>
      <c r="F24">
        <f t="shared" si="10"/>
        <v>0.82352941176470584</v>
      </c>
      <c r="H24" s="2">
        <f>AVERAGE(H4:H20)</f>
        <v>0.88235294117647067</v>
      </c>
      <c r="I24" s="2">
        <f t="shared" ref="I24:K24" si="11">AVERAGE(I4:I20)</f>
        <v>0.89999999999999991</v>
      </c>
      <c r="J24" s="2">
        <f t="shared" si="11"/>
        <v>0.82588235294117651</v>
      </c>
      <c r="K24" s="2">
        <f t="shared" si="11"/>
        <v>0.82352941176470584</v>
      </c>
    </row>
  </sheetData>
  <conditionalFormatting sqref="C4:C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4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3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H4:K20 M4:M20">
    <cfRule type="cellIs" dxfId="1" priority="2" operator="lessThan">
      <formula>0.5</formula>
    </cfRule>
  </conditionalFormatting>
  <conditionalFormatting sqref="M4:M20">
    <cfRule type="cellIs" dxfId="0" priority="1" operator="equal">
      <formula>TRUE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Ambothu Shilpa</dc:creator>
  <cp:lastModifiedBy>Ambothu Shilpa</cp:lastModifiedBy>
  <dcterms:created xsi:type="dcterms:W3CDTF">2025-10-26T09:13:21Z</dcterms:created>
  <dcterms:modified xsi:type="dcterms:W3CDTF">2025-10-29T03:13:19Z</dcterms:modified>
</cp:coreProperties>
</file>